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ingoneaus-my.sharepoint.com/personal/avakili_miningone_com_au/Documents/Microsoft Teams Chat Files/"/>
    </mc:Choice>
  </mc:AlternateContent>
  <xr:revisionPtr revIDLastSave="149" documentId="8_{A9854A00-3AB6-4BC9-8856-0DEFD324B7CB}" xr6:coauthVersionLast="47" xr6:coauthVersionMax="47" xr10:uidLastSave="{978F7635-CCA7-4EE1-9A69-75CE2D6607CC}"/>
  <bookViews>
    <workbookView xWindow="9900" yWindow="486" windowWidth="23694" windowHeight="1851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3" l="1"/>
  <c r="R12" i="3"/>
  <c r="R13" i="3"/>
  <c r="R10" i="3"/>
  <c r="Q2" i="3" l="1"/>
  <c r="J3" i="3" l="1"/>
  <c r="K3" i="3"/>
  <c r="L3" i="3"/>
  <c r="M3" i="3"/>
  <c r="N3" i="3"/>
  <c r="O3" i="3"/>
  <c r="J4" i="3"/>
  <c r="K4" i="3"/>
  <c r="L4" i="3"/>
  <c r="M4" i="3"/>
  <c r="N4" i="3"/>
  <c r="O4" i="3"/>
  <c r="O2" i="3"/>
  <c r="N2" i="3"/>
  <c r="M2" i="3"/>
  <c r="L2" i="3"/>
  <c r="K2" i="3"/>
  <c r="J2" i="3"/>
  <c r="P4" i="3" l="1"/>
  <c r="Q4" i="3" s="1"/>
  <c r="P3" i="3"/>
  <c r="Q3" i="3" s="1"/>
  <c r="P2" i="3"/>
</calcChain>
</file>

<file path=xl/sharedStrings.xml><?xml version="1.0" encoding="utf-8"?>
<sst xmlns="http://schemas.openxmlformats.org/spreadsheetml/2006/main" count="14" uniqueCount="14">
  <si>
    <t xml:space="preserve"> ddir1</t>
  </si>
  <si>
    <t xml:space="preserve"> dip1</t>
  </si>
  <si>
    <t xml:space="preserve"> ddir2</t>
  </si>
  <si>
    <t xml:space="preserve"> dip2</t>
  </si>
  <si>
    <t>E1(l)</t>
  </si>
  <si>
    <t>E1(m)</t>
  </si>
  <si>
    <t>E1(n)</t>
  </si>
  <si>
    <t>E2(l)</t>
  </si>
  <si>
    <t>E2(m)</t>
  </si>
  <si>
    <t>E2(n)</t>
  </si>
  <si>
    <t>None/Minor</t>
  </si>
  <si>
    <t>Moderate</t>
  </si>
  <si>
    <t>Significant</t>
  </si>
  <si>
    <t>Access not advisable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</si>
</sst>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10" xfId="0" applyFont="1" applyBorder="1" applyAlignment="1">
      <alignment horizontal="center" vertical="center" wrapText="1" readingOrder="1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41-48E6-B9EF-94B86A44B4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B41-48E6-B9EF-94B86A44B42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41-48E6-B9EF-94B86A44B420}"/>
              </c:ext>
            </c:extLst>
          </c:dPt>
          <c:dPt>
            <c:idx val="3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B41-48E6-B9EF-94B86A44B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Sheet2!$S$10:$S$13</c:f>
              <c:strCache>
                <c:ptCount val="4"/>
                <c:pt idx="0">
                  <c:v>None/Minor</c:v>
                </c:pt>
                <c:pt idx="1">
                  <c:v>Moderate</c:v>
                </c:pt>
                <c:pt idx="2">
                  <c:v>Significant</c:v>
                </c:pt>
                <c:pt idx="3">
                  <c:v>Access not advisable</c:v>
                </c:pt>
              </c:strCache>
            </c:strRef>
          </c:cat>
          <c:val>
            <c:numRef>
              <c:f>Sheet2!$R$10:$R$13</c:f>
              <c:numCache>
                <c:formatCode>0%</c:formatCode>
                <c:ptCount val="4"/>
                <c:pt idx="0">
                  <c:v>0.54696084393324829</c:v>
                </c:pt>
                <c:pt idx="1">
                  <c:v>8.2800174845156463E-2</c:v>
                </c:pt>
                <c:pt idx="2">
                  <c:v>0.17995178670984865</c:v>
                </c:pt>
                <c:pt idx="3">
                  <c:v>0.19028544955010526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1-48E6-B9EF-94B86A44B4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16086921115767"/>
          <c:y val="0.26382327209098866"/>
          <c:w val="0.32701733285725926"/>
          <c:h val="0.49087197433654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61912</xdr:rowOff>
    </xdr:from>
    <xdr:to>
      <xdr:col>17</xdr:col>
      <xdr:colOff>257175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FCC27-18E0-EDFF-6917-53D4F74FF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75E5-C884-4B7A-8169-2B10144B62A9}">
  <dimension ref="A1:S13"/>
  <sheetViews>
    <sheetView tabSelected="1" workbookViewId="0">
      <selection activeCell="S11" sqref="S11"/>
    </sheetView>
  </sheetViews>
  <sheetFormatPr defaultRowHeight="14.4" x14ac:dyDescent="0.55000000000000004"/>
  <cols>
    <col min="19" max="19" width="19.417968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9" x14ac:dyDescent="0.55000000000000004">
      <c r="A2">
        <v>168</v>
      </c>
      <c r="B2">
        <v>10</v>
      </c>
      <c r="C2">
        <v>4</v>
      </c>
      <c r="D2">
        <v>1</v>
      </c>
      <c r="G2" s="2"/>
      <c r="H2" s="1"/>
      <c r="J2">
        <f t="shared" ref="J2" si="0">SIN(RADIANS(A2))*COS(RADIANS(B2))</f>
        <v>0.20475304505920647</v>
      </c>
      <c r="K2">
        <f t="shared" ref="K2" si="1">COS(RADIANS(A2))*COS(RADIANS(B2))</f>
        <v>-0.96328734079294154</v>
      </c>
      <c r="L2">
        <f t="shared" ref="L2" si="2">-SIN(RADIANS(B2))</f>
        <v>-0.17364817766693033</v>
      </c>
      <c r="M2">
        <f>SIN(RADIANS(C2))*COS(RADIANS(D2))</f>
        <v>6.9745849495301007E-2</v>
      </c>
      <c r="N2">
        <f>COS(RADIANS(C2))*COS(RADIANS(D2))</f>
        <v>0.99741211642315963</v>
      </c>
      <c r="O2">
        <f>-SIN(RADIANS(D2))</f>
        <v>-1.7452406437283512E-2</v>
      </c>
      <c r="P2" s="3">
        <f>DEGREES(ACOS((J2*M2)+(K2*N2)+(L2*O2)))/((SQRT(J2^2+K2^2+L2^2))*(SQRT(M2^2+N2^2+O2^2)))</f>
        <v>160.64499410751088</v>
      </c>
      <c r="Q2" s="3">
        <f>180-P2</f>
        <v>19.355005892489118</v>
      </c>
    </row>
    <row r="3" spans="1:19" x14ac:dyDescent="0.55000000000000004">
      <c r="A3">
        <v>269</v>
      </c>
      <c r="B3">
        <v>33</v>
      </c>
      <c r="C3">
        <v>275</v>
      </c>
      <c r="D3">
        <v>51</v>
      </c>
      <c r="G3" s="2"/>
      <c r="H3" s="1"/>
      <c r="J3">
        <f t="shared" ref="J3:J4" si="3">SIN(RADIANS(A3))*COS(RADIANS(B3))</f>
        <v>-0.83854283435573385</v>
      </c>
      <c r="K3">
        <f t="shared" ref="K3:K4" si="4">COS(RADIANS(A3))*COS(RADIANS(B3))</f>
        <v>-1.4636819618770926E-2</v>
      </c>
      <c r="L3">
        <f t="shared" ref="L3:L4" si="5">-SIN(RADIANS(B3))</f>
        <v>-0.54463903501502708</v>
      </c>
      <c r="M3">
        <f t="shared" ref="M3:M4" si="6">SIN(RADIANS(C3))*COS(RADIANS(D3))</f>
        <v>-0.62692563696487213</v>
      </c>
      <c r="N3">
        <f t="shared" ref="N3:N4" si="7">COS(RADIANS(C3))*COS(RADIANS(D3))</f>
        <v>5.4848886108195098E-2</v>
      </c>
      <c r="O3">
        <f t="shared" ref="O3:O4" si="8">-SIN(RADIANS(D3))</f>
        <v>-0.7771459614569709</v>
      </c>
      <c r="P3" s="3">
        <f t="shared" ref="P3:P4" si="9">DEGREES(ACOS((J3*M3)+(K3*N3)+(L3*O3)))/((SQRT(J3^2+K3^2+L3^2))*(SQRT(M3^2+N3^2+O3^2)))</f>
        <v>18.528588486283727</v>
      </c>
      <c r="Q3" s="3">
        <f t="shared" ref="Q3:Q4" si="10">180-P3</f>
        <v>161.47141151371628</v>
      </c>
    </row>
    <row r="4" spans="1:19" x14ac:dyDescent="0.55000000000000004">
      <c r="A4">
        <v>69</v>
      </c>
      <c r="B4">
        <v>47</v>
      </c>
      <c r="C4">
        <v>58</v>
      </c>
      <c r="D4">
        <v>39</v>
      </c>
      <c r="G4" s="2"/>
      <c r="H4" s="1"/>
      <c r="J4">
        <f t="shared" si="3"/>
        <v>0.6367003198575395</v>
      </c>
      <c r="K4">
        <f t="shared" si="4"/>
        <v>0.24440635388885507</v>
      </c>
      <c r="L4">
        <f t="shared" si="5"/>
        <v>-0.73135370161917046</v>
      </c>
      <c r="M4">
        <f t="shared" si="6"/>
        <v>0.6590571530492394</v>
      </c>
      <c r="N4">
        <f t="shared" si="7"/>
        <v>0.41182461609708465</v>
      </c>
      <c r="O4">
        <f t="shared" si="8"/>
        <v>-0.62932039104983739</v>
      </c>
      <c r="P4" s="3">
        <f t="shared" si="9"/>
        <v>11.324654848775253</v>
      </c>
      <c r="Q4" s="3">
        <f t="shared" si="10"/>
        <v>168.67534515122475</v>
      </c>
    </row>
    <row r="5" spans="1:19" ht="14.7" thickBot="1" x14ac:dyDescent="0.6"/>
    <row r="6" spans="1:19" ht="14.7" thickBot="1" x14ac:dyDescent="0.6">
      <c r="L6" s="4"/>
      <c r="M6" s="4"/>
      <c r="N6" s="4"/>
    </row>
    <row r="7" spans="1:19" ht="14.7" thickBot="1" x14ac:dyDescent="0.6">
      <c r="L7" s="4"/>
      <c r="M7" s="4"/>
      <c r="N7" s="4"/>
    </row>
    <row r="8" spans="1:19" ht="14.7" thickBot="1" x14ac:dyDescent="0.6">
      <c r="L8" s="4"/>
      <c r="M8" s="4"/>
      <c r="N8" s="4"/>
    </row>
    <row r="9" spans="1:19" ht="14.7" thickBot="1" x14ac:dyDescent="0.6">
      <c r="L9" s="4"/>
      <c r="M9" s="4"/>
      <c r="N9" s="4"/>
      <c r="Q9">
        <v>1146157</v>
      </c>
    </row>
    <row r="10" spans="1:19" x14ac:dyDescent="0.55000000000000004">
      <c r="Q10">
        <v>626903</v>
      </c>
      <c r="R10" s="5">
        <f>Q10/$Q$9</f>
        <v>0.54696084393324829</v>
      </c>
      <c r="S10" t="s">
        <v>10</v>
      </c>
    </row>
    <row r="11" spans="1:19" x14ac:dyDescent="0.55000000000000004">
      <c r="Q11">
        <v>94902</v>
      </c>
      <c r="R11" s="5">
        <f t="shared" ref="R11:R13" si="11">Q11/$Q$9</f>
        <v>8.2800174845156463E-2</v>
      </c>
      <c r="S11" t="s">
        <v>11</v>
      </c>
    </row>
    <row r="12" spans="1:19" x14ac:dyDescent="0.55000000000000004">
      <c r="Q12">
        <v>206253</v>
      </c>
      <c r="R12" s="5">
        <f t="shared" si="11"/>
        <v>0.17995178670984865</v>
      </c>
      <c r="S12" t="s">
        <v>12</v>
      </c>
    </row>
    <row r="13" spans="1:19" x14ac:dyDescent="0.55000000000000004">
      <c r="Q13">
        <v>218097</v>
      </c>
      <c r="R13" s="5">
        <f t="shared" si="11"/>
        <v>0.19028544955010526</v>
      </c>
      <c r="S13" t="s">
        <v>13</v>
      </c>
    </row>
  </sheetData>
  <phoneticPr fontId="19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 Vakili</dc:creator>
  <cp:lastModifiedBy>Stephan Arndt</cp:lastModifiedBy>
  <dcterms:created xsi:type="dcterms:W3CDTF">2024-01-08T08:04:38Z</dcterms:created>
  <dcterms:modified xsi:type="dcterms:W3CDTF">2026-05-11T00:16:25Z</dcterms:modified>
</cp:coreProperties>
</file>